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15315" windowHeight="4695"/>
  </bookViews>
  <sheets>
    <sheet name="Sales data" sheetId="1" r:id="rId1"/>
    <sheet name="KPIs sheet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  <c r="B3" i="2"/>
  <c r="B2" i="2"/>
  <c r="B1" i="2"/>
  <c r="H3" i="1"/>
  <c r="H4" i="1"/>
  <c r="H5" i="1"/>
  <c r="H6" i="1"/>
  <c r="H7" i="1"/>
  <c r="H8" i="1"/>
  <c r="H2" i="1"/>
</calcChain>
</file>

<file path=xl/sharedStrings.xml><?xml version="1.0" encoding="utf-8"?>
<sst xmlns="http://schemas.openxmlformats.org/spreadsheetml/2006/main" count="31" uniqueCount="26">
  <si>
    <t>account</t>
  </si>
  <si>
    <t>name</t>
  </si>
  <si>
    <t>order</t>
  </si>
  <si>
    <t>sku</t>
  </si>
  <si>
    <t>quantity</t>
  </si>
  <si>
    <t>unit price</t>
  </si>
  <si>
    <t>ext price</t>
  </si>
  <si>
    <t>Isabella</t>
  </si>
  <si>
    <t>C1-20000</t>
  </si>
  <si>
    <t>Olivia</t>
  </si>
  <si>
    <t>A1-06532</t>
  </si>
  <si>
    <t>A1-82801</t>
  </si>
  <si>
    <t>Sophia</t>
  </si>
  <si>
    <t>A1-27722</t>
  </si>
  <si>
    <t>C1-33087</t>
  </si>
  <si>
    <t>C1-33364</t>
  </si>
  <si>
    <t>Corrected total</t>
  </si>
  <si>
    <t>Total Revenue (Old)</t>
  </si>
  <si>
    <t>Total Revenue (Corrected)</t>
  </si>
  <si>
    <t xml:space="preserve"> Average Order Value</t>
  </si>
  <si>
    <t>Total Quantity Sold</t>
  </si>
  <si>
    <t>Max Order Value</t>
  </si>
  <si>
    <t>Min Order Value</t>
  </si>
  <si>
    <t>Olivia Total Sales</t>
  </si>
  <si>
    <t>Sophia Total Sales</t>
  </si>
  <si>
    <t>Isabella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</si>
</sst>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 applyAlignment="1">
      <alignment horizontal="center"/>
    </xf>
    <xf numFmtId="0" fontId="1" fillId="0" borderId="0" xfId="1" applyFont="1" applyAlignment="1">
      <alignment horizontal="center"/>
    </xf>
    <xf numFmtId="0" fontId="1" fillId="0" borderId="0" xfId="1" applyFill="1" applyAlignment="1">
      <alignment horizontal="center"/>
    </xf>
    <xf numFmtId="0" fontId="0" fillId="0" borderId="0" xfId="0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'KPIs sheet'!$A$7:$A$9</c:f>
              <c:strCache>
                <c:ptCount val="3"/>
                <c:pt idx="0">
                  <c:v>Olivia Total Sales</c:v>
                </c:pt>
                <c:pt idx="1">
                  <c:v>Sophia Total Sales</c:v>
                </c:pt>
                <c:pt idx="2">
                  <c:v>Isabella Total Sales</c:v>
                </c:pt>
              </c:strCache>
            </c:strRef>
          </c:cat>
          <c:val>
            <c:numRef>
              <c:f>'KPIs sheet'!$B$7:$B$9</c:f>
              <c:numCache>
                <c:formatCode>General</c:formatCode>
                <c:ptCount val="3"/>
                <c:pt idx="0">
                  <c:v>8519.4399999999987</c:v>
                </c:pt>
                <c:pt idx="1">
                  <c:v>3775.65</c:v>
                </c:pt>
                <c:pt idx="2">
                  <c:v>393.21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0656"/>
        <c:axId val="143277440"/>
      </c:barChart>
      <c:catAx>
        <c:axId val="3990656"/>
        <c:scaling>
          <c:orientation val="minMax"/>
        </c:scaling>
        <c:delete val="0"/>
        <c:axPos val="b"/>
        <c:majorTickMark val="out"/>
        <c:minorTickMark val="none"/>
        <c:tickLblPos val="nextTo"/>
        <c:crossAx val="143277440"/>
        <c:crosses val="autoZero"/>
        <c:auto val="1"/>
        <c:lblAlgn val="ctr"/>
        <c:lblOffset val="100"/>
        <c:noMultiLvlLbl val="0"/>
      </c:catAx>
      <c:valAx>
        <c:axId val="143277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906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3</xdr:row>
      <xdr:rowOff>180975</xdr:rowOff>
    </xdr:from>
    <xdr:to>
      <xdr:col>12</xdr:col>
      <xdr:colOff>361950</xdr:colOff>
      <xdr:row>18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H2" activeCellId="2" sqref="B2:B8 H2 H2:H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16</v>
      </c>
    </row>
    <row r="2" spans="1:8" x14ac:dyDescent="0.25">
      <c r="A2" s="2">
        <v>383081</v>
      </c>
      <c r="B2" s="2" t="s">
        <v>7</v>
      </c>
      <c r="C2" s="1">
        <v>10002</v>
      </c>
      <c r="D2" s="2" t="s">
        <v>8</v>
      </c>
      <c r="E2" s="2">
        <v>9</v>
      </c>
      <c r="F2" s="2">
        <v>43.69</v>
      </c>
      <c r="G2" s="2">
        <v>555.83000000000004</v>
      </c>
      <c r="H2">
        <f>E2*F2</f>
        <v>393.21</v>
      </c>
    </row>
    <row r="3" spans="1:8" x14ac:dyDescent="0.25">
      <c r="A3" s="2">
        <v>412291</v>
      </c>
      <c r="B3" s="2" t="s">
        <v>9</v>
      </c>
      <c r="C3" s="1">
        <v>10004</v>
      </c>
      <c r="D3" s="2" t="s">
        <v>10</v>
      </c>
      <c r="E3" s="2">
        <v>56</v>
      </c>
      <c r="F3" s="2">
        <v>67.819999999999993</v>
      </c>
      <c r="G3" s="2">
        <v>2379.36</v>
      </c>
      <c r="H3">
        <f t="shared" ref="H3:H9" si="0">E3*F3</f>
        <v>3797.9199999999996</v>
      </c>
    </row>
    <row r="4" spans="1:8" x14ac:dyDescent="0.25">
      <c r="A4" s="2">
        <v>412291</v>
      </c>
      <c r="B4" s="2" t="s">
        <v>9</v>
      </c>
      <c r="C4" s="1">
        <v>10004</v>
      </c>
      <c r="D4" s="2" t="s">
        <v>11</v>
      </c>
      <c r="E4" s="2">
        <v>31</v>
      </c>
      <c r="F4" s="2">
        <v>145.62</v>
      </c>
      <c r="G4" s="2">
        <v>686.02</v>
      </c>
      <c r="H4">
        <f t="shared" si="0"/>
        <v>4514.22</v>
      </c>
    </row>
    <row r="5" spans="1:8" x14ac:dyDescent="0.25">
      <c r="A5" s="2">
        <v>412291</v>
      </c>
      <c r="B5" s="2" t="s">
        <v>9</v>
      </c>
      <c r="C5" s="1">
        <v>10004</v>
      </c>
      <c r="D5" s="2" t="s">
        <v>10</v>
      </c>
      <c r="E5" s="2">
        <v>6</v>
      </c>
      <c r="F5" s="2">
        <v>34.549999999999997</v>
      </c>
      <c r="G5" s="2">
        <v>782.95</v>
      </c>
      <c r="H5">
        <f t="shared" si="0"/>
        <v>207.29999999999998</v>
      </c>
    </row>
    <row r="6" spans="1:8" x14ac:dyDescent="0.25">
      <c r="A6" s="2">
        <v>218896</v>
      </c>
      <c r="B6" s="2" t="s">
        <v>12</v>
      </c>
      <c r="C6" s="1">
        <v>10007</v>
      </c>
      <c r="D6" s="2" t="s">
        <v>13</v>
      </c>
      <c r="E6" s="2">
        <v>35</v>
      </c>
      <c r="F6" s="2">
        <v>67.459999999999994</v>
      </c>
      <c r="G6" s="2">
        <v>6761.12</v>
      </c>
      <c r="H6">
        <f t="shared" si="0"/>
        <v>2361.1</v>
      </c>
    </row>
    <row r="7" spans="1:8" x14ac:dyDescent="0.25">
      <c r="A7" s="2">
        <v>218896</v>
      </c>
      <c r="B7" s="2" t="s">
        <v>12</v>
      </c>
      <c r="C7" s="1">
        <v>10007</v>
      </c>
      <c r="D7" s="2" t="s">
        <v>14</v>
      </c>
      <c r="E7" s="2">
        <v>33</v>
      </c>
      <c r="F7" s="2">
        <v>26.55</v>
      </c>
      <c r="G7" s="2">
        <v>788.65</v>
      </c>
      <c r="H7">
        <f t="shared" si="0"/>
        <v>876.15</v>
      </c>
    </row>
    <row r="8" spans="1:8" x14ac:dyDescent="0.25">
      <c r="A8" s="2">
        <v>218896</v>
      </c>
      <c r="B8" s="2" t="s">
        <v>12</v>
      </c>
      <c r="C8" s="1">
        <v>10007</v>
      </c>
      <c r="D8" s="2" t="s">
        <v>15</v>
      </c>
      <c r="E8" s="2">
        <v>8</v>
      </c>
      <c r="F8" s="2">
        <v>67.3</v>
      </c>
      <c r="G8" s="2">
        <v>676.9</v>
      </c>
      <c r="H8">
        <f t="shared" si="0"/>
        <v>538.4</v>
      </c>
    </row>
    <row r="9" spans="1:8" x14ac:dyDescent="0.25">
      <c r="A9" s="2"/>
      <c r="B9" s="2"/>
      <c r="C9" s="1"/>
      <c r="D9" s="2"/>
      <c r="E9" s="2"/>
      <c r="F9" s="2"/>
      <c r="G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J22" sqref="J22"/>
    </sheetView>
  </sheetViews>
  <sheetFormatPr defaultRowHeight="15" x14ac:dyDescent="0.25"/>
  <cols>
    <col min="1" max="1" width="24.42578125" customWidth="1"/>
  </cols>
  <sheetData>
    <row r="1" spans="1:2" ht="45" x14ac:dyDescent="0.25">
      <c r="A1" s="4" t="s">
        <v>17</v>
      </c>
      <c r="B1">
        <f>SUM('Sales data'!G2:G9)</f>
        <v>12630.829999999998</v>
      </c>
    </row>
    <row r="2" spans="1:2" x14ac:dyDescent="0.25">
      <c r="A2" t="s">
        <v>18</v>
      </c>
      <c r="B2">
        <f>SUM('Sales data'!H2:H9)</f>
        <v>12688.299999999997</v>
      </c>
    </row>
    <row r="3" spans="1:2" x14ac:dyDescent="0.25">
      <c r="A3" t="s">
        <v>19</v>
      </c>
      <c r="B3">
        <f>AVERAGE('Sales data'!H2:H9)</f>
        <v>1812.6142857142854</v>
      </c>
    </row>
    <row r="4" spans="1:2" x14ac:dyDescent="0.25">
      <c r="A4" t="s">
        <v>20</v>
      </c>
      <c r="B4">
        <f>SUM('Sales data'!E2:E9)</f>
        <v>178</v>
      </c>
    </row>
    <row r="5" spans="1:2" x14ac:dyDescent="0.25">
      <c r="A5" t="s">
        <v>21</v>
      </c>
      <c r="B5">
        <f>MAX('Sales data'!H2:H9)</f>
        <v>4514.22</v>
      </c>
    </row>
    <row r="6" spans="1:2" x14ac:dyDescent="0.25">
      <c r="A6" t="s">
        <v>22</v>
      </c>
      <c r="B6">
        <f>MIN('Sales data'!H2:H9)</f>
        <v>207.29999999999998</v>
      </c>
    </row>
    <row r="7" spans="1:2" x14ac:dyDescent="0.25">
      <c r="A7" t="s">
        <v>23</v>
      </c>
      <c r="B7">
        <f>SUMIF('Sales data'!B2:B9,"Olivia",'Sales data'!H2:H9)</f>
        <v>8519.4399999999987</v>
      </c>
    </row>
    <row r="8" spans="1:2" x14ac:dyDescent="0.25">
      <c r="A8" t="s">
        <v>24</v>
      </c>
      <c r="B8">
        <f>SUMIF('Sales data'!B2:B9,"Sophia",'Sales data'!H2:H9)</f>
        <v>3775.65</v>
      </c>
    </row>
    <row r="9" spans="1:2" x14ac:dyDescent="0.25">
      <c r="A9" t="s">
        <v>25</v>
      </c>
      <c r="B9">
        <f>SUMIF('Sales data'!B2:B9,"Isabella",'Sales data'!H2:H9)</f>
        <v>393.21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KPIs sheet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2026-09-17T12:25:39Z</dcterms:created>
  <dcterms:modified xsi:type="dcterms:W3CDTF">2026-09-17T13:22:25Z</dcterms:modified>
</cp:coreProperties>
</file>